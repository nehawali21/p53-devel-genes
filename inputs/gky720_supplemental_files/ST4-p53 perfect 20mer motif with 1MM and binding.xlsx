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erdata.niehs.nih.gov\nguyentt3\My Documents\Papers\p53-meta analysis 2018\NAR rebuttal\Supple tables\"/>
    </mc:Choice>
  </mc:AlternateContent>
  <bookViews>
    <workbookView xWindow="0" yWindow="0" windowWidth="23040" windowHeight="9396"/>
  </bookViews>
  <sheets>
    <sheet name="ST4 perfect 20mer_0sp with 1MM" sheetId="4" r:id="rId1"/>
  </sheets>
  <definedNames>
    <definedName name="_xlnm._FilterDatabase" localSheetId="0" hidden="1">'ST4 perfect 20mer_0sp with 1MM'!$A$1:$J$63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6" i="4" l="1"/>
  <c r="H66" i="4"/>
  <c r="F66" i="4"/>
  <c r="I65" i="4"/>
  <c r="H65" i="4"/>
  <c r="F65" i="4"/>
  <c r="I64" i="4"/>
  <c r="H64" i="4"/>
  <c r="F64" i="4"/>
  <c r="I63" i="4"/>
  <c r="H63" i="4"/>
  <c r="F63" i="4"/>
  <c r="I62" i="4"/>
  <c r="H62" i="4"/>
  <c r="F62" i="4"/>
  <c r="I61" i="4"/>
  <c r="H61" i="4"/>
  <c r="F61" i="4"/>
  <c r="I60" i="4"/>
  <c r="H60" i="4"/>
  <c r="F60" i="4"/>
  <c r="I59" i="4"/>
  <c r="H59" i="4"/>
  <c r="F59" i="4"/>
  <c r="I58" i="4"/>
  <c r="H58" i="4"/>
  <c r="F58" i="4"/>
  <c r="I57" i="4"/>
  <c r="H57" i="4"/>
  <c r="F57" i="4"/>
  <c r="I56" i="4"/>
  <c r="H56" i="4"/>
  <c r="F56" i="4"/>
  <c r="I55" i="4"/>
  <c r="H55" i="4"/>
  <c r="F55" i="4"/>
  <c r="I54" i="4"/>
  <c r="H54" i="4"/>
  <c r="F54" i="4"/>
  <c r="I53" i="4"/>
  <c r="H53" i="4"/>
  <c r="F53" i="4"/>
  <c r="I52" i="4"/>
  <c r="H52" i="4"/>
  <c r="F52" i="4"/>
  <c r="I51" i="4"/>
  <c r="H51" i="4"/>
  <c r="F51" i="4"/>
  <c r="I50" i="4"/>
  <c r="H50" i="4"/>
  <c r="F50" i="4"/>
  <c r="I49" i="4"/>
  <c r="H49" i="4"/>
  <c r="F49" i="4"/>
  <c r="I48" i="4"/>
  <c r="H48" i="4"/>
  <c r="F48" i="4"/>
  <c r="I47" i="4"/>
  <c r="H47" i="4"/>
  <c r="F47" i="4"/>
  <c r="I46" i="4"/>
  <c r="H46" i="4"/>
  <c r="F46" i="4"/>
  <c r="I45" i="4"/>
  <c r="H45" i="4"/>
  <c r="F45" i="4"/>
  <c r="I44" i="4"/>
  <c r="H44" i="4"/>
  <c r="F44" i="4"/>
  <c r="I43" i="4"/>
  <c r="H43" i="4"/>
  <c r="F43" i="4"/>
  <c r="I42" i="4"/>
  <c r="H42" i="4"/>
  <c r="F42" i="4"/>
  <c r="I41" i="4"/>
  <c r="H41" i="4"/>
  <c r="F41" i="4"/>
  <c r="I40" i="4"/>
  <c r="H40" i="4"/>
  <c r="F40" i="4"/>
  <c r="I39" i="4"/>
  <c r="H39" i="4"/>
  <c r="F39" i="4"/>
  <c r="I38" i="4"/>
  <c r="H38" i="4"/>
  <c r="F38" i="4"/>
  <c r="I37" i="4"/>
  <c r="H37" i="4"/>
  <c r="F37" i="4"/>
  <c r="I36" i="4"/>
  <c r="H36" i="4"/>
  <c r="F36" i="4"/>
  <c r="I35" i="4"/>
  <c r="H35" i="4"/>
  <c r="F35" i="4"/>
  <c r="I34" i="4"/>
  <c r="H34" i="4"/>
  <c r="F34" i="4"/>
  <c r="I33" i="4"/>
  <c r="H33" i="4"/>
  <c r="F33" i="4"/>
  <c r="I32" i="4"/>
  <c r="H32" i="4"/>
  <c r="F32" i="4"/>
  <c r="I31" i="4"/>
  <c r="H31" i="4"/>
  <c r="F31" i="4"/>
  <c r="I30" i="4"/>
  <c r="H30" i="4"/>
  <c r="F30" i="4"/>
  <c r="I29" i="4"/>
  <c r="H29" i="4"/>
  <c r="F29" i="4"/>
  <c r="I28" i="4"/>
  <c r="H28" i="4"/>
  <c r="F28" i="4"/>
  <c r="I27" i="4"/>
  <c r="H27" i="4"/>
  <c r="F27" i="4"/>
  <c r="I26" i="4"/>
  <c r="H26" i="4"/>
  <c r="F26" i="4"/>
  <c r="I25" i="4"/>
  <c r="H25" i="4"/>
  <c r="F25" i="4"/>
  <c r="I24" i="4"/>
  <c r="H24" i="4"/>
  <c r="F24" i="4"/>
  <c r="I23" i="4"/>
  <c r="H23" i="4"/>
  <c r="F23" i="4"/>
  <c r="I22" i="4"/>
  <c r="H22" i="4"/>
  <c r="F22" i="4"/>
  <c r="I21" i="4"/>
  <c r="H21" i="4"/>
  <c r="F21" i="4"/>
  <c r="I20" i="4"/>
  <c r="H20" i="4"/>
  <c r="F20" i="4"/>
  <c r="I19" i="4"/>
  <c r="H19" i="4"/>
  <c r="F19" i="4"/>
  <c r="I18" i="4"/>
  <c r="H18" i="4"/>
  <c r="F18" i="4"/>
  <c r="I17" i="4"/>
  <c r="H17" i="4"/>
  <c r="F17" i="4"/>
  <c r="I16" i="4"/>
  <c r="H16" i="4"/>
  <c r="F16" i="4"/>
  <c r="I15" i="4"/>
  <c r="H15" i="4"/>
  <c r="F15" i="4"/>
  <c r="I14" i="4"/>
  <c r="H14" i="4"/>
  <c r="F14" i="4"/>
  <c r="I13" i="4"/>
  <c r="H13" i="4"/>
  <c r="F13" i="4"/>
  <c r="I12" i="4"/>
  <c r="H12" i="4"/>
  <c r="F12" i="4"/>
  <c r="I11" i="4"/>
  <c r="H11" i="4"/>
  <c r="F11" i="4"/>
  <c r="I10" i="4"/>
  <c r="H10" i="4"/>
  <c r="F10" i="4"/>
  <c r="I9" i="4"/>
  <c r="H9" i="4"/>
  <c r="F9" i="4"/>
  <c r="I8" i="4"/>
  <c r="H8" i="4"/>
  <c r="F8" i="4"/>
  <c r="I7" i="4"/>
  <c r="H7" i="4"/>
  <c r="F7" i="4"/>
  <c r="I6" i="4"/>
  <c r="H6" i="4"/>
  <c r="F6" i="4"/>
  <c r="I5" i="4"/>
  <c r="H5" i="4"/>
  <c r="F5" i="4"/>
  <c r="I4" i="4"/>
  <c r="H4" i="4"/>
  <c r="F4" i="4"/>
  <c r="I3" i="4"/>
  <c r="H3" i="4"/>
  <c r="F3" i="4"/>
  <c r="I2" i="4"/>
  <c r="H2" i="4"/>
  <c r="F2" i="4"/>
</calcChain>
</file>

<file path=xl/sharedStrings.xml><?xml version="1.0" encoding="utf-8"?>
<sst xmlns="http://schemas.openxmlformats.org/spreadsheetml/2006/main" count="142" uniqueCount="24">
  <si>
    <t>MM pos</t>
  </si>
  <si>
    <t>Total sites</t>
  </si>
  <si>
    <t>Nucleotide</t>
  </si>
  <si>
    <t>Sites Bound</t>
  </si>
  <si>
    <t>% bound/ total</t>
  </si>
  <si>
    <t>sites TSS</t>
  </si>
  <si>
    <t>% TSS/ total</t>
  </si>
  <si>
    <t>% TSS/ bound</t>
  </si>
  <si>
    <t>none</t>
  </si>
  <si>
    <t>all</t>
  </si>
  <si>
    <t>R-&gt;C</t>
  </si>
  <si>
    <t>R-&gt;T</t>
  </si>
  <si>
    <t>W-&gt;C</t>
  </si>
  <si>
    <t>W-&gt;G</t>
  </si>
  <si>
    <t>Y-&gt;A</t>
  </si>
  <si>
    <t>Y-&gt;G</t>
  </si>
  <si>
    <t>C-&gt;A</t>
  </si>
  <si>
    <t>G-&gt;T</t>
  </si>
  <si>
    <t>C-&gt;G</t>
  </si>
  <si>
    <t>G-&gt;C</t>
  </si>
  <si>
    <t>C-&gt;T</t>
  </si>
  <si>
    <t>G-&gt;A</t>
  </si>
  <si>
    <t>perfect 20mer-0_spacer with 1MM</t>
  </si>
  <si>
    <t>20mer-no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</si>
</sst>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6F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0" fontId="0" fillId="0" borderId="0" xfId="0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1" xfId="0" applyFill="1" applyBorder="1" applyAlignment="1">
      <alignment horizontal="center" vertical="center" wrapText="1"/>
    </xf>
    <xf numFmtId="164" fontId="0" fillId="0" borderId="1" xfId="0" applyNumberFormat="1" applyFill="1" applyBorder="1"/>
    <xf numFmtId="0" fontId="6" fillId="0" borderId="0" xfId="0" applyFont="1" applyFill="1"/>
    <xf numFmtId="0" fontId="0" fillId="0" borderId="0" xfId="0" applyFill="1"/>
    <xf numFmtId="0" fontId="7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164" fontId="0" fillId="0" borderId="1" xfId="0" applyNumberForma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zoomScale="90" zoomScaleNormal="90" zoomScalePageLayoutView="70" workbookViewId="0">
      <selection activeCell="Q8" sqref="Q8"/>
    </sheetView>
  </sheetViews>
  <sheetFormatPr defaultColWidth="8.77734375" defaultRowHeight="14.4" x14ac:dyDescent="0.3"/>
  <cols>
    <col min="4" max="4" width="10.21875" style="6" customWidth="1"/>
    <col min="6" max="6" width="7.6640625" style="17" customWidth="1"/>
    <col min="8" max="8" width="8.44140625" customWidth="1"/>
    <col min="10" max="10" width="10.21875" style="6" customWidth="1"/>
  </cols>
  <sheetData>
    <row r="1" spans="1:10" s="1" customFormat="1" ht="43.2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14" t="s">
        <v>4</v>
      </c>
      <c r="G1" s="2" t="s">
        <v>5</v>
      </c>
      <c r="H1" s="2" t="s">
        <v>6</v>
      </c>
      <c r="I1" s="2" t="s">
        <v>7</v>
      </c>
      <c r="J1" s="2" t="s">
        <v>2</v>
      </c>
    </row>
    <row r="2" spans="1:10" ht="28.8" x14ac:dyDescent="0.3">
      <c r="A2" s="14" t="s">
        <v>23</v>
      </c>
      <c r="B2" s="18" t="s">
        <v>8</v>
      </c>
      <c r="C2" s="19">
        <v>550</v>
      </c>
      <c r="D2" s="19" t="s">
        <v>9</v>
      </c>
      <c r="E2" s="19">
        <v>410</v>
      </c>
      <c r="F2" s="20">
        <f t="shared" ref="F2" si="0">E2/C2</f>
        <v>0.74545454545454548</v>
      </c>
      <c r="G2" s="19">
        <v>54</v>
      </c>
      <c r="H2" s="20">
        <f t="shared" ref="H2:H65" si="1">G2/C2</f>
        <v>9.8181818181818176E-2</v>
      </c>
      <c r="I2" s="20">
        <f t="shared" ref="I2:I65" si="2">G2/E2</f>
        <v>0.13170731707317074</v>
      </c>
      <c r="J2" s="19" t="s">
        <v>9</v>
      </c>
    </row>
    <row r="3" spans="1:10" ht="14.4" customHeight="1" x14ac:dyDescent="0.3">
      <c r="A3" s="23" t="s">
        <v>22</v>
      </c>
      <c r="B3" s="24">
        <v>1</v>
      </c>
      <c r="C3" s="3">
        <v>211</v>
      </c>
      <c r="D3" s="4" t="s">
        <v>9</v>
      </c>
      <c r="E3" s="3">
        <v>127</v>
      </c>
      <c r="F3" s="15">
        <f>E3/C3</f>
        <v>0.6018957345971564</v>
      </c>
      <c r="G3" s="3">
        <v>20</v>
      </c>
      <c r="H3" s="5">
        <f t="shared" si="1"/>
        <v>9.4786729857819899E-2</v>
      </c>
      <c r="I3" s="5">
        <f t="shared" si="2"/>
        <v>0.15748031496062992</v>
      </c>
      <c r="J3" s="4" t="s">
        <v>9</v>
      </c>
    </row>
    <row r="4" spans="1:10" ht="14.4" customHeight="1" x14ac:dyDescent="0.3">
      <c r="A4" s="23"/>
      <c r="B4" s="24"/>
      <c r="C4" s="3">
        <v>65</v>
      </c>
      <c r="D4" s="7" t="s">
        <v>10</v>
      </c>
      <c r="E4" s="3">
        <v>32</v>
      </c>
      <c r="F4" s="15">
        <f t="shared" ref="F4:F66" si="3">E4/C4</f>
        <v>0.49230769230769234</v>
      </c>
      <c r="G4" s="3">
        <v>8</v>
      </c>
      <c r="H4" s="5">
        <f t="shared" si="1"/>
        <v>0.12307692307692308</v>
      </c>
      <c r="I4" s="5">
        <f t="shared" si="2"/>
        <v>0.25</v>
      </c>
      <c r="J4" s="7" t="s">
        <v>10</v>
      </c>
    </row>
    <row r="5" spans="1:10" ht="14.4" customHeight="1" x14ac:dyDescent="0.3">
      <c r="A5" s="23"/>
      <c r="B5" s="24"/>
      <c r="C5" s="3">
        <v>136</v>
      </c>
      <c r="D5" s="9" t="s">
        <v>11</v>
      </c>
      <c r="E5" s="3">
        <v>95</v>
      </c>
      <c r="F5" s="15">
        <f t="shared" si="3"/>
        <v>0.69852941176470584</v>
      </c>
      <c r="G5" s="3">
        <v>12</v>
      </c>
      <c r="H5" s="5">
        <f t="shared" si="1"/>
        <v>8.8235294117647065E-2</v>
      </c>
      <c r="I5" s="5">
        <f t="shared" si="2"/>
        <v>0.12631578947368421</v>
      </c>
      <c r="J5" s="9" t="s">
        <v>11</v>
      </c>
    </row>
    <row r="6" spans="1:10" ht="14.4" customHeight="1" x14ac:dyDescent="0.3">
      <c r="A6" s="23"/>
      <c r="B6" s="24">
        <v>2</v>
      </c>
      <c r="C6" s="3">
        <v>138</v>
      </c>
      <c r="D6" s="4" t="s">
        <v>9</v>
      </c>
      <c r="E6" s="3">
        <v>76</v>
      </c>
      <c r="F6" s="15">
        <f t="shared" si="3"/>
        <v>0.55072463768115942</v>
      </c>
      <c r="G6" s="3">
        <v>8</v>
      </c>
      <c r="H6" s="5">
        <f t="shared" si="1"/>
        <v>5.7971014492753624E-2</v>
      </c>
      <c r="I6" s="5">
        <f t="shared" si="2"/>
        <v>0.10526315789473684</v>
      </c>
      <c r="J6" s="4" t="s">
        <v>9</v>
      </c>
    </row>
    <row r="7" spans="1:10" ht="14.4" customHeight="1" x14ac:dyDescent="0.3">
      <c r="A7" s="23"/>
      <c r="B7" s="24"/>
      <c r="C7" s="3">
        <v>38</v>
      </c>
      <c r="D7" s="7" t="s">
        <v>10</v>
      </c>
      <c r="E7" s="3">
        <v>25</v>
      </c>
      <c r="F7" s="15">
        <f t="shared" si="3"/>
        <v>0.65789473684210531</v>
      </c>
      <c r="G7" s="3">
        <v>2</v>
      </c>
      <c r="H7" s="5">
        <f t="shared" si="1"/>
        <v>5.2631578947368418E-2</v>
      </c>
      <c r="I7" s="5">
        <f t="shared" si="2"/>
        <v>0.08</v>
      </c>
      <c r="J7" s="7" t="s">
        <v>10</v>
      </c>
    </row>
    <row r="8" spans="1:10" ht="14.4" customHeight="1" x14ac:dyDescent="0.3">
      <c r="A8" s="23"/>
      <c r="B8" s="24"/>
      <c r="C8" s="3">
        <v>100</v>
      </c>
      <c r="D8" s="9" t="s">
        <v>11</v>
      </c>
      <c r="E8" s="3">
        <v>51</v>
      </c>
      <c r="F8" s="15">
        <f t="shared" si="3"/>
        <v>0.51</v>
      </c>
      <c r="G8" s="3">
        <v>6</v>
      </c>
      <c r="H8" s="5">
        <f t="shared" si="1"/>
        <v>0.06</v>
      </c>
      <c r="I8" s="5">
        <f t="shared" si="2"/>
        <v>0.11764705882352941</v>
      </c>
      <c r="J8" s="9" t="s">
        <v>11</v>
      </c>
    </row>
    <row r="9" spans="1:10" ht="14.4" customHeight="1" x14ac:dyDescent="0.3">
      <c r="A9" s="23"/>
      <c r="B9" s="24">
        <v>3</v>
      </c>
      <c r="C9" s="3">
        <v>173</v>
      </c>
      <c r="D9" s="4" t="s">
        <v>9</v>
      </c>
      <c r="E9" s="3">
        <v>62</v>
      </c>
      <c r="F9" s="15">
        <f t="shared" si="3"/>
        <v>0.3583815028901734</v>
      </c>
      <c r="G9" s="3">
        <v>12</v>
      </c>
      <c r="H9" s="5">
        <f t="shared" si="1"/>
        <v>6.9364161849710976E-2</v>
      </c>
      <c r="I9" s="5">
        <f t="shared" si="2"/>
        <v>0.19354838709677419</v>
      </c>
      <c r="J9" s="4" t="s">
        <v>9</v>
      </c>
    </row>
    <row r="10" spans="1:10" ht="14.4" customHeight="1" x14ac:dyDescent="0.3">
      <c r="A10" s="23"/>
      <c r="B10" s="24"/>
      <c r="C10" s="3">
        <v>76</v>
      </c>
      <c r="D10" s="7" t="s">
        <v>10</v>
      </c>
      <c r="E10" s="3">
        <v>22</v>
      </c>
      <c r="F10" s="15">
        <f t="shared" si="3"/>
        <v>0.28947368421052633</v>
      </c>
      <c r="G10" s="3">
        <v>4</v>
      </c>
      <c r="H10" s="5">
        <f t="shared" si="1"/>
        <v>5.2631578947368418E-2</v>
      </c>
      <c r="I10" s="5">
        <f t="shared" si="2"/>
        <v>0.18181818181818182</v>
      </c>
      <c r="J10" s="7" t="s">
        <v>10</v>
      </c>
    </row>
    <row r="11" spans="1:10" ht="14.4" customHeight="1" x14ac:dyDescent="0.3">
      <c r="A11" s="23"/>
      <c r="B11" s="24"/>
      <c r="C11" s="3">
        <v>97</v>
      </c>
      <c r="D11" s="9" t="s">
        <v>11</v>
      </c>
      <c r="E11" s="3">
        <v>40</v>
      </c>
      <c r="F11" s="15">
        <f t="shared" si="3"/>
        <v>0.41237113402061853</v>
      </c>
      <c r="G11" s="3">
        <v>8</v>
      </c>
      <c r="H11" s="5">
        <f t="shared" si="1"/>
        <v>8.247422680412371E-2</v>
      </c>
      <c r="I11" s="5">
        <f t="shared" si="2"/>
        <v>0.2</v>
      </c>
      <c r="J11" s="9" t="s">
        <v>11</v>
      </c>
    </row>
    <row r="12" spans="1:10" ht="14.4" customHeight="1" x14ac:dyDescent="0.3">
      <c r="A12" s="23"/>
      <c r="B12" s="25">
        <v>4</v>
      </c>
      <c r="C12" s="3">
        <v>816</v>
      </c>
      <c r="D12" s="11" t="s">
        <v>9</v>
      </c>
      <c r="E12" s="3">
        <v>91</v>
      </c>
      <c r="F12" s="15">
        <f t="shared" si="3"/>
        <v>0.11151960784313726</v>
      </c>
      <c r="G12" s="3">
        <v>17</v>
      </c>
      <c r="H12" s="5">
        <f t="shared" si="1"/>
        <v>2.0833333333333332E-2</v>
      </c>
      <c r="I12" s="5">
        <f t="shared" si="2"/>
        <v>0.18681318681318682</v>
      </c>
      <c r="J12" s="11" t="s">
        <v>9</v>
      </c>
    </row>
    <row r="13" spans="1:10" ht="14.4" customHeight="1" x14ac:dyDescent="0.3">
      <c r="A13" s="23"/>
      <c r="B13" s="25"/>
      <c r="C13" s="3">
        <v>302</v>
      </c>
      <c r="D13" s="10" t="s">
        <v>16</v>
      </c>
      <c r="E13" s="3">
        <v>16</v>
      </c>
      <c r="F13" s="15">
        <f t="shared" si="3"/>
        <v>5.2980132450331126E-2</v>
      </c>
      <c r="G13" s="3">
        <v>4</v>
      </c>
      <c r="H13" s="5">
        <f t="shared" si="1"/>
        <v>1.3245033112582781E-2</v>
      </c>
      <c r="I13" s="5">
        <f t="shared" si="2"/>
        <v>0.25</v>
      </c>
      <c r="J13" s="10" t="s">
        <v>16</v>
      </c>
    </row>
    <row r="14" spans="1:10" ht="14.4" customHeight="1" x14ac:dyDescent="0.3">
      <c r="A14" s="23"/>
      <c r="B14" s="25"/>
      <c r="C14" s="3">
        <v>268</v>
      </c>
      <c r="D14" s="8" t="s">
        <v>18</v>
      </c>
      <c r="E14" s="3">
        <v>25</v>
      </c>
      <c r="F14" s="15">
        <f t="shared" si="3"/>
        <v>9.3283582089552244E-2</v>
      </c>
      <c r="G14" s="3">
        <v>4</v>
      </c>
      <c r="H14" s="5">
        <f t="shared" si="1"/>
        <v>1.4925373134328358E-2</v>
      </c>
      <c r="I14" s="5">
        <f t="shared" si="2"/>
        <v>0.16</v>
      </c>
      <c r="J14" s="8" t="s">
        <v>18</v>
      </c>
    </row>
    <row r="15" spans="1:10" ht="14.4" customHeight="1" x14ac:dyDescent="0.3">
      <c r="A15" s="23"/>
      <c r="B15" s="25"/>
      <c r="C15" s="3">
        <v>246</v>
      </c>
      <c r="D15" s="9" t="s">
        <v>20</v>
      </c>
      <c r="E15" s="3">
        <v>50</v>
      </c>
      <c r="F15" s="15">
        <f t="shared" si="3"/>
        <v>0.2032520325203252</v>
      </c>
      <c r="G15" s="3">
        <v>9</v>
      </c>
      <c r="H15" s="5">
        <f t="shared" si="1"/>
        <v>3.6585365853658534E-2</v>
      </c>
      <c r="I15" s="5">
        <f t="shared" si="2"/>
        <v>0.18</v>
      </c>
      <c r="J15" s="9" t="s">
        <v>20</v>
      </c>
    </row>
    <row r="16" spans="1:10" ht="14.4" customHeight="1" x14ac:dyDescent="0.3">
      <c r="A16" s="23"/>
      <c r="B16" s="25">
        <v>5</v>
      </c>
      <c r="C16" s="3">
        <v>163</v>
      </c>
      <c r="D16" s="4" t="s">
        <v>9</v>
      </c>
      <c r="E16" s="3">
        <v>54</v>
      </c>
      <c r="F16" s="15">
        <f t="shared" si="3"/>
        <v>0.33128834355828218</v>
      </c>
      <c r="G16" s="3">
        <v>8</v>
      </c>
      <c r="H16" s="5">
        <f t="shared" si="1"/>
        <v>4.9079754601226995E-2</v>
      </c>
      <c r="I16" s="5">
        <f t="shared" si="2"/>
        <v>0.14814814814814814</v>
      </c>
      <c r="J16" s="4" t="s">
        <v>9</v>
      </c>
    </row>
    <row r="17" spans="1:10" ht="14.4" customHeight="1" x14ac:dyDescent="0.3">
      <c r="A17" s="23"/>
      <c r="B17" s="25"/>
      <c r="C17" s="3">
        <v>143</v>
      </c>
      <c r="D17" s="7" t="s">
        <v>12</v>
      </c>
      <c r="E17" s="3">
        <v>43</v>
      </c>
      <c r="F17" s="15">
        <f t="shared" si="3"/>
        <v>0.30069930069930068</v>
      </c>
      <c r="G17" s="3">
        <v>5</v>
      </c>
      <c r="H17" s="5">
        <f t="shared" si="1"/>
        <v>3.4965034965034968E-2</v>
      </c>
      <c r="I17" s="5">
        <f t="shared" si="2"/>
        <v>0.11627906976744186</v>
      </c>
      <c r="J17" s="7" t="s">
        <v>12</v>
      </c>
    </row>
    <row r="18" spans="1:10" ht="14.4" customHeight="1" x14ac:dyDescent="0.3">
      <c r="A18" s="23"/>
      <c r="B18" s="25"/>
      <c r="C18" s="3">
        <v>20</v>
      </c>
      <c r="D18" s="8" t="s">
        <v>13</v>
      </c>
      <c r="E18" s="3">
        <v>11</v>
      </c>
      <c r="F18" s="15">
        <f t="shared" si="3"/>
        <v>0.55000000000000004</v>
      </c>
      <c r="G18" s="3">
        <v>3</v>
      </c>
      <c r="H18" s="5">
        <f t="shared" si="1"/>
        <v>0.15</v>
      </c>
      <c r="I18" s="5">
        <f t="shared" si="2"/>
        <v>0.27272727272727271</v>
      </c>
      <c r="J18" s="8" t="s">
        <v>13</v>
      </c>
    </row>
    <row r="19" spans="1:10" ht="14.4" customHeight="1" x14ac:dyDescent="0.3">
      <c r="A19" s="23"/>
      <c r="B19" s="25">
        <v>6</v>
      </c>
      <c r="C19" s="3">
        <v>161</v>
      </c>
      <c r="D19" s="4" t="s">
        <v>9</v>
      </c>
      <c r="E19" s="3">
        <v>79</v>
      </c>
      <c r="F19" s="15">
        <f t="shared" si="3"/>
        <v>0.49068322981366458</v>
      </c>
      <c r="G19" s="3">
        <v>12</v>
      </c>
      <c r="H19" s="5">
        <f t="shared" si="1"/>
        <v>7.4534161490683232E-2</v>
      </c>
      <c r="I19" s="5">
        <f t="shared" si="2"/>
        <v>0.15189873417721519</v>
      </c>
      <c r="J19" s="4" t="s">
        <v>9</v>
      </c>
    </row>
    <row r="20" spans="1:10" ht="14.4" customHeight="1" x14ac:dyDescent="0.3">
      <c r="A20" s="23"/>
      <c r="B20" s="25"/>
      <c r="C20" s="3">
        <v>24</v>
      </c>
      <c r="D20" s="7" t="s">
        <v>12</v>
      </c>
      <c r="E20" s="3">
        <v>18</v>
      </c>
      <c r="F20" s="15">
        <f t="shared" si="3"/>
        <v>0.75</v>
      </c>
      <c r="G20" s="3">
        <v>1</v>
      </c>
      <c r="H20" s="5">
        <f t="shared" si="1"/>
        <v>4.1666666666666664E-2</v>
      </c>
      <c r="I20" s="5">
        <f t="shared" si="2"/>
        <v>5.5555555555555552E-2</v>
      </c>
      <c r="J20" s="7" t="s">
        <v>12</v>
      </c>
    </row>
    <row r="21" spans="1:10" ht="14.4" customHeight="1" x14ac:dyDescent="0.3">
      <c r="A21" s="23"/>
      <c r="B21" s="25"/>
      <c r="C21" s="3">
        <v>137</v>
      </c>
      <c r="D21" s="8" t="s">
        <v>13</v>
      </c>
      <c r="E21" s="3">
        <v>61</v>
      </c>
      <c r="F21" s="15">
        <f t="shared" si="3"/>
        <v>0.44525547445255476</v>
      </c>
      <c r="G21" s="3">
        <v>11</v>
      </c>
      <c r="H21" s="5">
        <f t="shared" si="1"/>
        <v>8.0291970802919707E-2</v>
      </c>
      <c r="I21" s="5">
        <f t="shared" si="2"/>
        <v>0.18032786885245902</v>
      </c>
      <c r="J21" s="8" t="s">
        <v>13</v>
      </c>
    </row>
    <row r="22" spans="1:10" ht="14.4" customHeight="1" x14ac:dyDescent="0.3">
      <c r="A22" s="23"/>
      <c r="B22" s="21">
        <v>7</v>
      </c>
      <c r="C22" s="3">
        <v>862</v>
      </c>
      <c r="D22" s="11" t="s">
        <v>9</v>
      </c>
      <c r="E22" s="3">
        <v>22</v>
      </c>
      <c r="F22" s="15">
        <f t="shared" si="3"/>
        <v>2.5522041763341066E-2</v>
      </c>
      <c r="G22" s="3">
        <v>6</v>
      </c>
      <c r="H22" s="5">
        <f t="shared" si="1"/>
        <v>6.9605568445475635E-3</v>
      </c>
      <c r="I22" s="5">
        <f t="shared" si="2"/>
        <v>0.27272727272727271</v>
      </c>
      <c r="J22" s="11" t="s">
        <v>9</v>
      </c>
    </row>
    <row r="23" spans="1:10" ht="14.4" customHeight="1" x14ac:dyDescent="0.3">
      <c r="A23" s="23"/>
      <c r="B23" s="21"/>
      <c r="C23" s="3">
        <v>253</v>
      </c>
      <c r="D23" s="10" t="s">
        <v>21</v>
      </c>
      <c r="E23" s="3">
        <v>9</v>
      </c>
      <c r="F23" s="15">
        <f t="shared" si="3"/>
        <v>3.5573122529644272E-2</v>
      </c>
      <c r="G23" s="3">
        <v>3</v>
      </c>
      <c r="H23" s="5">
        <f t="shared" si="1"/>
        <v>1.1857707509881422E-2</v>
      </c>
      <c r="I23" s="5">
        <f t="shared" si="2"/>
        <v>0.33333333333333331</v>
      </c>
      <c r="J23" s="10" t="s">
        <v>21</v>
      </c>
    </row>
    <row r="24" spans="1:10" ht="14.4" customHeight="1" x14ac:dyDescent="0.3">
      <c r="A24" s="23"/>
      <c r="B24" s="21"/>
      <c r="C24" s="3">
        <v>236</v>
      </c>
      <c r="D24" s="7" t="s">
        <v>19</v>
      </c>
      <c r="E24" s="3">
        <v>4</v>
      </c>
      <c r="F24" s="15">
        <f t="shared" si="3"/>
        <v>1.6949152542372881E-2</v>
      </c>
      <c r="G24" s="3">
        <v>0</v>
      </c>
      <c r="H24" s="5">
        <f t="shared" si="1"/>
        <v>0</v>
      </c>
      <c r="I24" s="5">
        <f t="shared" si="2"/>
        <v>0</v>
      </c>
      <c r="J24" s="7" t="s">
        <v>19</v>
      </c>
    </row>
    <row r="25" spans="1:10" ht="14.4" customHeight="1" x14ac:dyDescent="0.3">
      <c r="A25" s="23"/>
      <c r="B25" s="21"/>
      <c r="C25" s="3">
        <v>373</v>
      </c>
      <c r="D25" s="9" t="s">
        <v>17</v>
      </c>
      <c r="E25" s="3">
        <v>9</v>
      </c>
      <c r="F25" s="15">
        <f t="shared" si="3"/>
        <v>2.4128686327077747E-2</v>
      </c>
      <c r="G25" s="3">
        <v>3</v>
      </c>
      <c r="H25" s="5">
        <f t="shared" si="1"/>
        <v>8.0428954423592495E-3</v>
      </c>
      <c r="I25" s="5">
        <f t="shared" si="2"/>
        <v>0.33333333333333331</v>
      </c>
      <c r="J25" s="9" t="s">
        <v>17</v>
      </c>
    </row>
    <row r="26" spans="1:10" ht="14.4" customHeight="1" x14ac:dyDescent="0.3">
      <c r="A26" s="23"/>
      <c r="B26" s="22">
        <v>8</v>
      </c>
      <c r="C26" s="3">
        <v>218</v>
      </c>
      <c r="D26" s="4" t="s">
        <v>9</v>
      </c>
      <c r="E26" s="3">
        <v>42</v>
      </c>
      <c r="F26" s="15">
        <f t="shared" si="3"/>
        <v>0.19266055045871561</v>
      </c>
      <c r="G26" s="3">
        <v>9</v>
      </c>
      <c r="H26" s="5">
        <f t="shared" si="1"/>
        <v>4.1284403669724773E-2</v>
      </c>
      <c r="I26" s="5">
        <f t="shared" si="2"/>
        <v>0.21428571428571427</v>
      </c>
      <c r="J26" s="4" t="s">
        <v>9</v>
      </c>
    </row>
    <row r="27" spans="1:10" ht="14.4" customHeight="1" x14ac:dyDescent="0.3">
      <c r="A27" s="23"/>
      <c r="B27" s="22"/>
      <c r="C27" s="3">
        <v>103</v>
      </c>
      <c r="D27" s="10" t="s">
        <v>14</v>
      </c>
      <c r="E27" s="3">
        <v>32</v>
      </c>
      <c r="F27" s="15">
        <f t="shared" si="3"/>
        <v>0.31067961165048541</v>
      </c>
      <c r="G27" s="3">
        <v>4</v>
      </c>
      <c r="H27" s="5">
        <f t="shared" si="1"/>
        <v>3.8834951456310676E-2</v>
      </c>
      <c r="I27" s="5">
        <f t="shared" si="2"/>
        <v>0.125</v>
      </c>
      <c r="J27" s="10" t="s">
        <v>14</v>
      </c>
    </row>
    <row r="28" spans="1:10" ht="14.4" customHeight="1" x14ac:dyDescent="0.3">
      <c r="A28" s="23"/>
      <c r="B28" s="22"/>
      <c r="C28" s="3">
        <v>115</v>
      </c>
      <c r="D28" s="8" t="s">
        <v>15</v>
      </c>
      <c r="E28" s="3">
        <v>10</v>
      </c>
      <c r="F28" s="15">
        <f t="shared" si="3"/>
        <v>8.6956521739130432E-2</v>
      </c>
      <c r="G28" s="3">
        <v>5</v>
      </c>
      <c r="H28" s="5">
        <f t="shared" si="1"/>
        <v>4.3478260869565216E-2</v>
      </c>
      <c r="I28" s="5">
        <f t="shared" si="2"/>
        <v>0.5</v>
      </c>
      <c r="J28" s="8" t="s">
        <v>15</v>
      </c>
    </row>
    <row r="29" spans="1:10" ht="14.4" customHeight="1" x14ac:dyDescent="0.3">
      <c r="A29" s="23"/>
      <c r="B29" s="22">
        <v>9</v>
      </c>
      <c r="C29" s="3">
        <v>204</v>
      </c>
      <c r="D29" s="4" t="s">
        <v>9</v>
      </c>
      <c r="E29" s="3">
        <v>96</v>
      </c>
      <c r="F29" s="15">
        <f t="shared" si="3"/>
        <v>0.47058823529411764</v>
      </c>
      <c r="G29" s="3">
        <v>25</v>
      </c>
      <c r="H29" s="5">
        <f t="shared" si="1"/>
        <v>0.12254901960784313</v>
      </c>
      <c r="I29" s="5">
        <f t="shared" si="2"/>
        <v>0.26041666666666669</v>
      </c>
      <c r="J29" s="4" t="s">
        <v>9</v>
      </c>
    </row>
    <row r="30" spans="1:10" ht="14.4" customHeight="1" x14ac:dyDescent="0.3">
      <c r="A30" s="23"/>
      <c r="B30" s="22"/>
      <c r="C30" s="3">
        <v>139</v>
      </c>
      <c r="D30" s="10" t="s">
        <v>14</v>
      </c>
      <c r="E30" s="3">
        <v>66</v>
      </c>
      <c r="F30" s="15">
        <f t="shared" si="3"/>
        <v>0.47482014388489208</v>
      </c>
      <c r="G30" s="3">
        <v>16</v>
      </c>
      <c r="H30" s="5">
        <f t="shared" si="1"/>
        <v>0.11510791366906475</v>
      </c>
      <c r="I30" s="5">
        <f t="shared" si="2"/>
        <v>0.24242424242424243</v>
      </c>
      <c r="J30" s="10" t="s">
        <v>14</v>
      </c>
    </row>
    <row r="31" spans="1:10" ht="14.4" customHeight="1" x14ac:dyDescent="0.3">
      <c r="A31" s="23"/>
      <c r="B31" s="22"/>
      <c r="C31" s="3">
        <v>65</v>
      </c>
      <c r="D31" s="8" t="s">
        <v>15</v>
      </c>
      <c r="E31" s="3">
        <v>30</v>
      </c>
      <c r="F31" s="15">
        <f t="shared" si="3"/>
        <v>0.46153846153846156</v>
      </c>
      <c r="G31" s="3">
        <v>9</v>
      </c>
      <c r="H31" s="5">
        <f t="shared" si="1"/>
        <v>0.13846153846153847</v>
      </c>
      <c r="I31" s="5">
        <f t="shared" si="2"/>
        <v>0.3</v>
      </c>
      <c r="J31" s="8" t="s">
        <v>15</v>
      </c>
    </row>
    <row r="32" spans="1:10" ht="14.4" customHeight="1" x14ac:dyDescent="0.3">
      <c r="A32" s="23"/>
      <c r="B32" s="22">
        <v>10</v>
      </c>
      <c r="C32" s="3">
        <v>231</v>
      </c>
      <c r="D32" s="4" t="s">
        <v>9</v>
      </c>
      <c r="E32" s="3">
        <v>103</v>
      </c>
      <c r="F32" s="15">
        <f t="shared" si="3"/>
        <v>0.44588744588744589</v>
      </c>
      <c r="G32" s="3">
        <v>22</v>
      </c>
      <c r="H32" s="5">
        <f t="shared" si="1"/>
        <v>9.5238095238095233E-2</v>
      </c>
      <c r="I32" s="5">
        <f t="shared" si="2"/>
        <v>0.21359223300970873</v>
      </c>
      <c r="J32" s="4" t="s">
        <v>9</v>
      </c>
    </row>
    <row r="33" spans="1:10" ht="14.4" customHeight="1" x14ac:dyDescent="0.3">
      <c r="A33" s="23"/>
      <c r="B33" s="22"/>
      <c r="C33" s="3">
        <v>133</v>
      </c>
      <c r="D33" s="10" t="s">
        <v>14</v>
      </c>
      <c r="E33" s="3">
        <v>56</v>
      </c>
      <c r="F33" s="15">
        <f t="shared" si="3"/>
        <v>0.42105263157894735</v>
      </c>
      <c r="G33" s="3">
        <v>14</v>
      </c>
      <c r="H33" s="5">
        <f t="shared" si="1"/>
        <v>0.10526315789473684</v>
      </c>
      <c r="I33" s="5">
        <f t="shared" si="2"/>
        <v>0.25</v>
      </c>
      <c r="J33" s="10" t="s">
        <v>14</v>
      </c>
    </row>
    <row r="34" spans="1:10" ht="15" customHeight="1" x14ac:dyDescent="0.3">
      <c r="A34" s="23"/>
      <c r="B34" s="22"/>
      <c r="C34" s="3">
        <v>98</v>
      </c>
      <c r="D34" s="8" t="s">
        <v>15</v>
      </c>
      <c r="E34" s="3">
        <v>47</v>
      </c>
      <c r="F34" s="15">
        <f t="shared" si="3"/>
        <v>0.47959183673469385</v>
      </c>
      <c r="G34" s="3">
        <v>8</v>
      </c>
      <c r="H34" s="5">
        <f t="shared" si="1"/>
        <v>8.1632653061224483E-2</v>
      </c>
      <c r="I34" s="5">
        <f t="shared" si="2"/>
        <v>0.1702127659574468</v>
      </c>
      <c r="J34" s="8" t="s">
        <v>15</v>
      </c>
    </row>
    <row r="35" spans="1:10" x14ac:dyDescent="0.3">
      <c r="A35" s="23"/>
      <c r="B35" s="24">
        <v>11</v>
      </c>
      <c r="C35" s="3">
        <v>223</v>
      </c>
      <c r="D35" s="4" t="s">
        <v>9</v>
      </c>
      <c r="E35" s="3">
        <v>102</v>
      </c>
      <c r="F35" s="15">
        <f t="shared" si="3"/>
        <v>0.45739910313901344</v>
      </c>
      <c r="G35" s="3">
        <v>20</v>
      </c>
      <c r="H35" s="5">
        <f t="shared" si="1"/>
        <v>8.9686098654708515E-2</v>
      </c>
      <c r="I35" s="5">
        <f t="shared" si="2"/>
        <v>0.19607843137254902</v>
      </c>
      <c r="J35" s="4" t="s">
        <v>9</v>
      </c>
    </row>
    <row r="36" spans="1:10" x14ac:dyDescent="0.3">
      <c r="A36" s="23"/>
      <c r="B36" s="24"/>
      <c r="C36" s="3">
        <v>92</v>
      </c>
      <c r="D36" s="7" t="s">
        <v>10</v>
      </c>
      <c r="E36" s="3">
        <v>45</v>
      </c>
      <c r="F36" s="15">
        <f t="shared" si="3"/>
        <v>0.4891304347826087</v>
      </c>
      <c r="G36" s="3">
        <v>9</v>
      </c>
      <c r="H36" s="5">
        <f t="shared" si="1"/>
        <v>9.7826086956521743E-2</v>
      </c>
      <c r="I36" s="5">
        <f t="shared" si="2"/>
        <v>0.2</v>
      </c>
      <c r="J36" s="7" t="s">
        <v>10</v>
      </c>
    </row>
    <row r="37" spans="1:10" x14ac:dyDescent="0.3">
      <c r="A37" s="23"/>
      <c r="B37" s="24"/>
      <c r="C37" s="3">
        <v>131</v>
      </c>
      <c r="D37" s="9" t="s">
        <v>11</v>
      </c>
      <c r="E37" s="3">
        <v>57</v>
      </c>
      <c r="F37" s="15">
        <f t="shared" si="3"/>
        <v>0.4351145038167939</v>
      </c>
      <c r="G37" s="3">
        <v>11</v>
      </c>
      <c r="H37" s="5">
        <f t="shared" si="1"/>
        <v>8.3969465648854963E-2</v>
      </c>
      <c r="I37" s="5">
        <f t="shared" si="2"/>
        <v>0.19298245614035087</v>
      </c>
      <c r="J37" s="9" t="s">
        <v>11</v>
      </c>
    </row>
    <row r="38" spans="1:10" x14ac:dyDescent="0.3">
      <c r="A38" s="23"/>
      <c r="B38" s="24">
        <v>12</v>
      </c>
      <c r="C38" s="3">
        <v>186</v>
      </c>
      <c r="D38" s="4" t="s">
        <v>9</v>
      </c>
      <c r="E38" s="3">
        <v>82</v>
      </c>
      <c r="F38" s="15">
        <f t="shared" si="3"/>
        <v>0.44086021505376344</v>
      </c>
      <c r="G38" s="3">
        <v>21</v>
      </c>
      <c r="H38" s="5">
        <f t="shared" si="1"/>
        <v>0.11290322580645161</v>
      </c>
      <c r="I38" s="5">
        <f t="shared" si="2"/>
        <v>0.25609756097560976</v>
      </c>
      <c r="J38" s="4" t="s">
        <v>9</v>
      </c>
    </row>
    <row r="39" spans="1:10" x14ac:dyDescent="0.3">
      <c r="A39" s="23"/>
      <c r="B39" s="24"/>
      <c r="C39" s="3">
        <v>73</v>
      </c>
      <c r="D39" s="7" t="s">
        <v>10</v>
      </c>
      <c r="E39" s="3">
        <v>26</v>
      </c>
      <c r="F39" s="15">
        <f t="shared" si="3"/>
        <v>0.35616438356164382</v>
      </c>
      <c r="G39" s="3">
        <v>9</v>
      </c>
      <c r="H39" s="5">
        <f t="shared" si="1"/>
        <v>0.12328767123287671</v>
      </c>
      <c r="I39" s="5">
        <f t="shared" si="2"/>
        <v>0.34615384615384615</v>
      </c>
      <c r="J39" s="7" t="s">
        <v>10</v>
      </c>
    </row>
    <row r="40" spans="1:10" x14ac:dyDescent="0.3">
      <c r="A40" s="23"/>
      <c r="B40" s="24"/>
      <c r="C40" s="3">
        <v>113</v>
      </c>
      <c r="D40" s="9" t="s">
        <v>11</v>
      </c>
      <c r="E40" s="3">
        <v>56</v>
      </c>
      <c r="F40" s="15">
        <f t="shared" si="3"/>
        <v>0.49557522123893805</v>
      </c>
      <c r="G40" s="3">
        <v>12</v>
      </c>
      <c r="H40" s="5">
        <f t="shared" si="1"/>
        <v>0.10619469026548672</v>
      </c>
      <c r="I40" s="5">
        <f t="shared" si="2"/>
        <v>0.21428571428571427</v>
      </c>
      <c r="J40" s="9" t="s">
        <v>11</v>
      </c>
    </row>
    <row r="41" spans="1:10" x14ac:dyDescent="0.3">
      <c r="A41" s="23"/>
      <c r="B41" s="24">
        <v>13</v>
      </c>
      <c r="C41" s="3">
        <v>210</v>
      </c>
      <c r="D41" s="4" t="s">
        <v>9</v>
      </c>
      <c r="E41" s="3">
        <v>40</v>
      </c>
      <c r="F41" s="15">
        <f t="shared" si="3"/>
        <v>0.19047619047619047</v>
      </c>
      <c r="G41" s="3">
        <v>12</v>
      </c>
      <c r="H41" s="5">
        <f t="shared" si="1"/>
        <v>5.7142857142857141E-2</v>
      </c>
      <c r="I41" s="5">
        <f t="shared" si="2"/>
        <v>0.3</v>
      </c>
      <c r="J41" s="4" t="s">
        <v>9</v>
      </c>
    </row>
    <row r="42" spans="1:10" x14ac:dyDescent="0.3">
      <c r="A42" s="23"/>
      <c r="B42" s="24"/>
      <c r="C42" s="3">
        <v>108</v>
      </c>
      <c r="D42" s="7" t="s">
        <v>10</v>
      </c>
      <c r="E42" s="3">
        <v>16</v>
      </c>
      <c r="F42" s="15">
        <f t="shared" si="3"/>
        <v>0.14814814814814814</v>
      </c>
      <c r="G42" s="3">
        <v>5</v>
      </c>
      <c r="H42" s="5">
        <f t="shared" si="1"/>
        <v>4.6296296296296294E-2</v>
      </c>
      <c r="I42" s="5">
        <f t="shared" si="2"/>
        <v>0.3125</v>
      </c>
      <c r="J42" s="7" t="s">
        <v>10</v>
      </c>
    </row>
    <row r="43" spans="1:10" x14ac:dyDescent="0.3">
      <c r="A43" s="23"/>
      <c r="B43" s="24"/>
      <c r="C43" s="3">
        <v>102</v>
      </c>
      <c r="D43" s="9" t="s">
        <v>11</v>
      </c>
      <c r="E43" s="3">
        <v>24</v>
      </c>
      <c r="F43" s="15">
        <f t="shared" si="3"/>
        <v>0.23529411764705882</v>
      </c>
      <c r="G43" s="3">
        <v>7</v>
      </c>
      <c r="H43" s="5">
        <f t="shared" si="1"/>
        <v>6.8627450980392163E-2</v>
      </c>
      <c r="I43" s="5">
        <f t="shared" si="2"/>
        <v>0.29166666666666669</v>
      </c>
      <c r="J43" s="9" t="s">
        <v>11</v>
      </c>
    </row>
    <row r="44" spans="1:10" x14ac:dyDescent="0.3">
      <c r="A44" s="23"/>
      <c r="B44" s="25">
        <v>14</v>
      </c>
      <c r="C44" s="3">
        <v>779</v>
      </c>
      <c r="D44" s="11" t="s">
        <v>9</v>
      </c>
      <c r="E44" s="3">
        <v>25</v>
      </c>
      <c r="F44" s="15">
        <f t="shared" si="3"/>
        <v>3.2092426187419767E-2</v>
      </c>
      <c r="G44" s="3">
        <v>5</v>
      </c>
      <c r="H44" s="5">
        <f t="shared" si="1"/>
        <v>6.4184852374839542E-3</v>
      </c>
      <c r="I44" s="5">
        <f t="shared" si="2"/>
        <v>0.2</v>
      </c>
      <c r="J44" s="11" t="s">
        <v>9</v>
      </c>
    </row>
    <row r="45" spans="1:10" x14ac:dyDescent="0.3">
      <c r="A45" s="23"/>
      <c r="B45" s="25"/>
      <c r="C45" s="3">
        <v>306</v>
      </c>
      <c r="D45" s="10" t="s">
        <v>16</v>
      </c>
      <c r="E45" s="3">
        <v>4</v>
      </c>
      <c r="F45" s="15">
        <f t="shared" si="3"/>
        <v>1.3071895424836602E-2</v>
      </c>
      <c r="G45" s="3">
        <v>1</v>
      </c>
      <c r="H45" s="5">
        <f t="shared" si="1"/>
        <v>3.2679738562091504E-3</v>
      </c>
      <c r="I45" s="5">
        <f t="shared" si="2"/>
        <v>0.25</v>
      </c>
      <c r="J45" s="10" t="s">
        <v>16</v>
      </c>
    </row>
    <row r="46" spans="1:10" x14ac:dyDescent="0.3">
      <c r="A46" s="23"/>
      <c r="B46" s="25"/>
      <c r="C46" s="3">
        <v>242</v>
      </c>
      <c r="D46" s="8" t="s">
        <v>18</v>
      </c>
      <c r="E46" s="3">
        <v>12</v>
      </c>
      <c r="F46" s="15">
        <f t="shared" si="3"/>
        <v>4.9586776859504134E-2</v>
      </c>
      <c r="G46" s="3">
        <v>1</v>
      </c>
      <c r="H46" s="5">
        <f t="shared" si="1"/>
        <v>4.1322314049586778E-3</v>
      </c>
      <c r="I46" s="5">
        <f t="shared" si="2"/>
        <v>8.3333333333333329E-2</v>
      </c>
      <c r="J46" s="8" t="s">
        <v>18</v>
      </c>
    </row>
    <row r="47" spans="1:10" x14ac:dyDescent="0.3">
      <c r="A47" s="23"/>
      <c r="B47" s="25"/>
      <c r="C47" s="3">
        <v>231</v>
      </c>
      <c r="D47" s="9" t="s">
        <v>20</v>
      </c>
      <c r="E47" s="3">
        <v>9</v>
      </c>
      <c r="F47" s="15">
        <f t="shared" si="3"/>
        <v>3.896103896103896E-2</v>
      </c>
      <c r="G47" s="3">
        <v>3</v>
      </c>
      <c r="H47" s="5">
        <f t="shared" si="1"/>
        <v>1.2987012987012988E-2</v>
      </c>
      <c r="I47" s="5">
        <f t="shared" si="2"/>
        <v>0.33333333333333331</v>
      </c>
      <c r="J47" s="9" t="s">
        <v>20</v>
      </c>
    </row>
    <row r="48" spans="1:10" x14ac:dyDescent="0.3">
      <c r="A48" s="23"/>
      <c r="B48" s="25">
        <v>15</v>
      </c>
      <c r="C48" s="3">
        <v>143</v>
      </c>
      <c r="D48" s="4" t="s">
        <v>9</v>
      </c>
      <c r="E48" s="3">
        <v>58</v>
      </c>
      <c r="F48" s="15">
        <f t="shared" si="3"/>
        <v>0.40559440559440557</v>
      </c>
      <c r="G48" s="3">
        <v>10</v>
      </c>
      <c r="H48" s="5">
        <f t="shared" si="1"/>
        <v>6.9930069930069935E-2</v>
      </c>
      <c r="I48" s="5">
        <f t="shared" si="2"/>
        <v>0.17241379310344829</v>
      </c>
      <c r="J48" s="4" t="s">
        <v>9</v>
      </c>
    </row>
    <row r="49" spans="1:10" x14ac:dyDescent="0.3">
      <c r="A49" s="23"/>
      <c r="B49" s="25"/>
      <c r="C49" s="3">
        <v>126</v>
      </c>
      <c r="D49" s="7" t="s">
        <v>12</v>
      </c>
      <c r="E49" s="3">
        <v>50</v>
      </c>
      <c r="F49" s="15">
        <f t="shared" si="3"/>
        <v>0.3968253968253968</v>
      </c>
      <c r="G49" s="3">
        <v>9</v>
      </c>
      <c r="H49" s="5">
        <f t="shared" si="1"/>
        <v>7.1428571428571425E-2</v>
      </c>
      <c r="I49" s="5">
        <f t="shared" si="2"/>
        <v>0.18</v>
      </c>
      <c r="J49" s="7" t="s">
        <v>12</v>
      </c>
    </row>
    <row r="50" spans="1:10" x14ac:dyDescent="0.3">
      <c r="A50" s="23"/>
      <c r="B50" s="25"/>
      <c r="C50" s="3">
        <v>17</v>
      </c>
      <c r="D50" s="8" t="s">
        <v>13</v>
      </c>
      <c r="E50" s="3">
        <v>8</v>
      </c>
      <c r="F50" s="15">
        <f t="shared" si="3"/>
        <v>0.47058823529411764</v>
      </c>
      <c r="G50" s="3">
        <v>1</v>
      </c>
      <c r="H50" s="5">
        <f t="shared" si="1"/>
        <v>5.8823529411764705E-2</v>
      </c>
      <c r="I50" s="5">
        <f t="shared" si="2"/>
        <v>0.125</v>
      </c>
      <c r="J50" s="8" t="s">
        <v>13</v>
      </c>
    </row>
    <row r="51" spans="1:10" x14ac:dyDescent="0.3">
      <c r="A51" s="23"/>
      <c r="B51" s="25">
        <v>16</v>
      </c>
      <c r="C51" s="3">
        <v>149</v>
      </c>
      <c r="D51" s="4" t="s">
        <v>9</v>
      </c>
      <c r="E51" s="3">
        <v>50</v>
      </c>
      <c r="F51" s="15">
        <f t="shared" si="3"/>
        <v>0.33557046979865773</v>
      </c>
      <c r="G51" s="3">
        <v>7</v>
      </c>
      <c r="H51" s="5">
        <f t="shared" si="1"/>
        <v>4.6979865771812082E-2</v>
      </c>
      <c r="I51" s="5">
        <f t="shared" si="2"/>
        <v>0.14000000000000001</v>
      </c>
      <c r="J51" s="4" t="s">
        <v>9</v>
      </c>
    </row>
    <row r="52" spans="1:10" x14ac:dyDescent="0.3">
      <c r="A52" s="23"/>
      <c r="B52" s="25"/>
      <c r="C52" s="3">
        <v>14</v>
      </c>
      <c r="D52" s="7" t="s">
        <v>12</v>
      </c>
      <c r="E52" s="3">
        <v>7</v>
      </c>
      <c r="F52" s="15">
        <f t="shared" si="3"/>
        <v>0.5</v>
      </c>
      <c r="G52" s="3">
        <v>2</v>
      </c>
      <c r="H52" s="5">
        <f t="shared" si="1"/>
        <v>0.14285714285714285</v>
      </c>
      <c r="I52" s="5">
        <f t="shared" si="2"/>
        <v>0.2857142857142857</v>
      </c>
      <c r="J52" s="7" t="s">
        <v>12</v>
      </c>
    </row>
    <row r="53" spans="1:10" x14ac:dyDescent="0.3">
      <c r="A53" s="23"/>
      <c r="B53" s="25"/>
      <c r="C53" s="3">
        <v>135</v>
      </c>
      <c r="D53" s="8" t="s">
        <v>13</v>
      </c>
      <c r="E53" s="3">
        <v>43</v>
      </c>
      <c r="F53" s="15">
        <f t="shared" si="3"/>
        <v>0.31851851851851853</v>
      </c>
      <c r="G53" s="3">
        <v>5</v>
      </c>
      <c r="H53" s="5">
        <f t="shared" si="1"/>
        <v>3.7037037037037035E-2</v>
      </c>
      <c r="I53" s="5">
        <f t="shared" si="2"/>
        <v>0.11627906976744186</v>
      </c>
      <c r="J53" s="8" t="s">
        <v>13</v>
      </c>
    </row>
    <row r="54" spans="1:10" x14ac:dyDescent="0.3">
      <c r="A54" s="23"/>
      <c r="B54" s="21">
        <v>17</v>
      </c>
      <c r="C54" s="3">
        <v>815</v>
      </c>
      <c r="D54" s="11" t="s">
        <v>9</v>
      </c>
      <c r="E54" s="3">
        <v>86</v>
      </c>
      <c r="F54" s="15">
        <f t="shared" si="3"/>
        <v>0.10552147239263804</v>
      </c>
      <c r="G54" s="3">
        <v>16</v>
      </c>
      <c r="H54" s="5">
        <f t="shared" si="1"/>
        <v>1.9631901840490799E-2</v>
      </c>
      <c r="I54" s="5">
        <f t="shared" si="2"/>
        <v>0.18604651162790697</v>
      </c>
      <c r="J54" s="11" t="s">
        <v>9</v>
      </c>
    </row>
    <row r="55" spans="1:10" x14ac:dyDescent="0.3">
      <c r="A55" s="23"/>
      <c r="B55" s="21"/>
      <c r="C55" s="3">
        <v>234</v>
      </c>
      <c r="D55" s="10" t="s">
        <v>21</v>
      </c>
      <c r="E55" s="3">
        <v>43</v>
      </c>
      <c r="F55" s="15">
        <f t="shared" si="3"/>
        <v>0.18376068376068377</v>
      </c>
      <c r="G55" s="3">
        <v>8</v>
      </c>
      <c r="H55" s="5">
        <f t="shared" si="1"/>
        <v>3.4188034188034191E-2</v>
      </c>
      <c r="I55" s="5">
        <f t="shared" si="2"/>
        <v>0.18604651162790697</v>
      </c>
      <c r="J55" s="10" t="s">
        <v>21</v>
      </c>
    </row>
    <row r="56" spans="1:10" x14ac:dyDescent="0.3">
      <c r="A56" s="23"/>
      <c r="B56" s="21"/>
      <c r="C56" s="3">
        <v>277</v>
      </c>
      <c r="D56" s="7" t="s">
        <v>19</v>
      </c>
      <c r="E56" s="3">
        <v>26</v>
      </c>
      <c r="F56" s="15">
        <f t="shared" si="3"/>
        <v>9.3862815884476536E-2</v>
      </c>
      <c r="G56" s="3">
        <v>6</v>
      </c>
      <c r="H56" s="5">
        <f t="shared" si="1"/>
        <v>2.1660649819494584E-2</v>
      </c>
      <c r="I56" s="5">
        <f t="shared" si="2"/>
        <v>0.23076923076923078</v>
      </c>
      <c r="J56" s="7" t="s">
        <v>19</v>
      </c>
    </row>
    <row r="57" spans="1:10" x14ac:dyDescent="0.3">
      <c r="A57" s="23"/>
      <c r="B57" s="21"/>
      <c r="C57" s="3">
        <v>304</v>
      </c>
      <c r="D57" s="9" t="s">
        <v>17</v>
      </c>
      <c r="E57" s="3">
        <v>17</v>
      </c>
      <c r="F57" s="15">
        <f t="shared" si="3"/>
        <v>5.5921052631578948E-2</v>
      </c>
      <c r="G57" s="3">
        <v>2</v>
      </c>
      <c r="H57" s="5">
        <f t="shared" si="1"/>
        <v>6.5789473684210523E-3</v>
      </c>
      <c r="I57" s="5">
        <f t="shared" si="2"/>
        <v>0.11764705882352941</v>
      </c>
      <c r="J57" s="9" t="s">
        <v>17</v>
      </c>
    </row>
    <row r="58" spans="1:10" x14ac:dyDescent="0.3">
      <c r="A58" s="23"/>
      <c r="B58" s="22">
        <v>18</v>
      </c>
      <c r="C58" s="3">
        <v>223</v>
      </c>
      <c r="D58" s="4" t="s">
        <v>9</v>
      </c>
      <c r="E58" s="3">
        <v>81</v>
      </c>
      <c r="F58" s="15">
        <f t="shared" si="3"/>
        <v>0.3632286995515695</v>
      </c>
      <c r="G58" s="3">
        <v>12</v>
      </c>
      <c r="H58" s="5">
        <f t="shared" si="1"/>
        <v>5.3811659192825115E-2</v>
      </c>
      <c r="I58" s="5">
        <f t="shared" si="2"/>
        <v>0.14814814814814814</v>
      </c>
      <c r="J58" s="4" t="s">
        <v>9</v>
      </c>
    </row>
    <row r="59" spans="1:10" x14ac:dyDescent="0.3">
      <c r="A59" s="23"/>
      <c r="B59" s="22"/>
      <c r="C59" s="3">
        <v>108</v>
      </c>
      <c r="D59" s="10" t="s">
        <v>14</v>
      </c>
      <c r="E59" s="3">
        <v>54</v>
      </c>
      <c r="F59" s="15">
        <f t="shared" si="3"/>
        <v>0.5</v>
      </c>
      <c r="G59" s="3">
        <v>11</v>
      </c>
      <c r="H59" s="5">
        <f t="shared" si="1"/>
        <v>0.10185185185185185</v>
      </c>
      <c r="I59" s="5">
        <f t="shared" si="2"/>
        <v>0.20370370370370369</v>
      </c>
      <c r="J59" s="10" t="s">
        <v>14</v>
      </c>
    </row>
    <row r="60" spans="1:10" x14ac:dyDescent="0.3">
      <c r="A60" s="23"/>
      <c r="B60" s="22"/>
      <c r="C60" s="3">
        <v>115</v>
      </c>
      <c r="D60" s="8" t="s">
        <v>15</v>
      </c>
      <c r="E60" s="3">
        <v>27</v>
      </c>
      <c r="F60" s="15">
        <f t="shared" si="3"/>
        <v>0.23478260869565218</v>
      </c>
      <c r="G60" s="3">
        <v>1</v>
      </c>
      <c r="H60" s="5">
        <f t="shared" si="1"/>
        <v>8.6956521739130436E-3</v>
      </c>
      <c r="I60" s="5">
        <f t="shared" si="2"/>
        <v>3.7037037037037035E-2</v>
      </c>
      <c r="J60" s="8" t="s">
        <v>15</v>
      </c>
    </row>
    <row r="61" spans="1:10" x14ac:dyDescent="0.3">
      <c r="A61" s="23"/>
      <c r="B61" s="22">
        <v>19</v>
      </c>
      <c r="C61" s="3">
        <v>104</v>
      </c>
      <c r="D61" s="4" t="s">
        <v>9</v>
      </c>
      <c r="E61" s="3">
        <v>57</v>
      </c>
      <c r="F61" s="15">
        <f t="shared" si="3"/>
        <v>0.54807692307692313</v>
      </c>
      <c r="G61" s="3">
        <v>11</v>
      </c>
      <c r="H61" s="5">
        <f t="shared" si="1"/>
        <v>0.10576923076923077</v>
      </c>
      <c r="I61" s="5">
        <f t="shared" si="2"/>
        <v>0.19298245614035087</v>
      </c>
      <c r="J61" s="4" t="s">
        <v>9</v>
      </c>
    </row>
    <row r="62" spans="1:10" x14ac:dyDescent="0.3">
      <c r="A62" s="23"/>
      <c r="B62" s="22"/>
      <c r="C62" s="3">
        <v>72</v>
      </c>
      <c r="D62" s="10" t="s">
        <v>14</v>
      </c>
      <c r="E62" s="3">
        <v>41</v>
      </c>
      <c r="F62" s="15">
        <f t="shared" si="3"/>
        <v>0.56944444444444442</v>
      </c>
      <c r="G62" s="3">
        <v>9</v>
      </c>
      <c r="H62" s="5">
        <f t="shared" si="1"/>
        <v>0.125</v>
      </c>
      <c r="I62" s="5">
        <f t="shared" si="2"/>
        <v>0.21951219512195122</v>
      </c>
      <c r="J62" s="10" t="s">
        <v>14</v>
      </c>
    </row>
    <row r="63" spans="1:10" x14ac:dyDescent="0.3">
      <c r="A63" s="23"/>
      <c r="B63" s="22"/>
      <c r="C63" s="3">
        <v>32</v>
      </c>
      <c r="D63" s="8" t="s">
        <v>15</v>
      </c>
      <c r="E63" s="3">
        <v>16</v>
      </c>
      <c r="F63" s="15">
        <f t="shared" si="3"/>
        <v>0.5</v>
      </c>
      <c r="G63" s="3">
        <v>2</v>
      </c>
      <c r="H63" s="5">
        <f t="shared" si="1"/>
        <v>6.25E-2</v>
      </c>
      <c r="I63" s="5">
        <f t="shared" si="2"/>
        <v>0.125</v>
      </c>
      <c r="J63" s="8" t="s">
        <v>15</v>
      </c>
    </row>
    <row r="64" spans="1:10" x14ac:dyDescent="0.3">
      <c r="A64" s="23"/>
      <c r="B64" s="22">
        <v>20</v>
      </c>
      <c r="C64" s="3">
        <v>227</v>
      </c>
      <c r="D64" s="4" t="s">
        <v>9</v>
      </c>
      <c r="E64" s="3">
        <v>143</v>
      </c>
      <c r="F64" s="15">
        <f t="shared" si="3"/>
        <v>0.62995594713656389</v>
      </c>
      <c r="G64" s="3">
        <v>18</v>
      </c>
      <c r="H64" s="5">
        <f t="shared" si="1"/>
        <v>7.9295154185022032E-2</v>
      </c>
      <c r="I64" s="5">
        <f t="shared" si="2"/>
        <v>0.12587412587412589</v>
      </c>
      <c r="J64" s="4" t="s">
        <v>9</v>
      </c>
    </row>
    <row r="65" spans="1:10" x14ac:dyDescent="0.3">
      <c r="A65" s="23"/>
      <c r="B65" s="22"/>
      <c r="C65" s="3">
        <v>156</v>
      </c>
      <c r="D65" s="10" t="s">
        <v>14</v>
      </c>
      <c r="E65" s="3">
        <v>104</v>
      </c>
      <c r="F65" s="15">
        <f t="shared" si="3"/>
        <v>0.66666666666666663</v>
      </c>
      <c r="G65" s="3">
        <v>14</v>
      </c>
      <c r="H65" s="5">
        <f t="shared" si="1"/>
        <v>8.9743589743589744E-2</v>
      </c>
      <c r="I65" s="5">
        <f t="shared" si="2"/>
        <v>0.13461538461538461</v>
      </c>
      <c r="J65" s="10" t="s">
        <v>14</v>
      </c>
    </row>
    <row r="66" spans="1:10" x14ac:dyDescent="0.3">
      <c r="A66" s="23"/>
      <c r="B66" s="22"/>
      <c r="C66" s="3">
        <v>71</v>
      </c>
      <c r="D66" s="8" t="s">
        <v>15</v>
      </c>
      <c r="E66" s="3">
        <v>39</v>
      </c>
      <c r="F66" s="15">
        <f t="shared" si="3"/>
        <v>0.54929577464788737</v>
      </c>
      <c r="G66" s="3">
        <v>4</v>
      </c>
      <c r="H66" s="5">
        <f t="shared" ref="H66" si="4">G66/C66</f>
        <v>5.6338028169014086E-2</v>
      </c>
      <c r="I66" s="5">
        <f t="shared" ref="I66" si="5">G66/E66</f>
        <v>0.10256410256410256</v>
      </c>
      <c r="J66" s="8" t="s">
        <v>15</v>
      </c>
    </row>
    <row r="68" spans="1:10" ht="18" x14ac:dyDescent="0.35">
      <c r="A68" s="12"/>
      <c r="B68" s="12"/>
      <c r="C68" s="12"/>
      <c r="D68" s="13"/>
      <c r="E68" s="12"/>
      <c r="F68" s="16"/>
      <c r="G68" s="12"/>
      <c r="H68" s="12"/>
      <c r="I68" s="12"/>
      <c r="J68" s="13"/>
    </row>
  </sheetData>
  <mergeCells count="21">
    <mergeCell ref="B19:B21"/>
    <mergeCell ref="B12:B15"/>
    <mergeCell ref="B3:B5"/>
    <mergeCell ref="B6:B8"/>
    <mergeCell ref="B9:B11"/>
    <mergeCell ref="B54:B57"/>
    <mergeCell ref="B58:B60"/>
    <mergeCell ref="B61:B63"/>
    <mergeCell ref="B64:B66"/>
    <mergeCell ref="A3:A66"/>
    <mergeCell ref="B35:B37"/>
    <mergeCell ref="B38:B40"/>
    <mergeCell ref="B41:B43"/>
    <mergeCell ref="B44:B47"/>
    <mergeCell ref="B48:B50"/>
    <mergeCell ref="B51:B53"/>
    <mergeCell ref="B29:B31"/>
    <mergeCell ref="B32:B34"/>
    <mergeCell ref="B22:B25"/>
    <mergeCell ref="B26:B28"/>
    <mergeCell ref="B16:B1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ST4 perfect 20mer_0sp with 1MM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Thuy-Ai (NIH/NIEHS) [E]</dc:creator>
  <cp:lastModifiedBy>Nguyen, Thuy-Ai (NIH/NIEHS) [E]</cp:lastModifiedBy>
  <dcterms:created xsi:type="dcterms:W3CDTF">2018-02-15T20:03:12Z</dcterms:created>
  <dcterms:modified xsi:type="dcterms:W3CDTF">2018-06-27T15:19:51Z</dcterms:modified>
</cp:coreProperties>
</file>